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<sst xmlns="http://schemas.openxmlformats.org/spreadsheetml/2006/main" count="369" uniqueCount="213">
  <si>
    <t/>
  </si>
  <si>
    <t xml:space="preserve">Bill of Materials </t>
  </si>
  <si>
    <t>BOM_EC20_PCB2_2025-08-13</t>
  </si>
  <si>
    <t>Project Title：</t>
  </si>
  <si>
    <t>485通信</t>
  </si>
  <si>
    <t>Variant:</t>
  </si>
  <si>
    <t xml:space="preserve"> </t>
  </si>
  <si>
    <t>Report Time：</t>
  </si>
  <si>
    <t>2025年8月13日 9:53:33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</si>
  <si>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</si>
  <si>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</si>
  <si>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</si>
  <si>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</si>
  <si>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</si>
  <si>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</si>
  <si>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</si>
  <si>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</si>
  <si>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</si>
  <si>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</si>
  <si>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</si>
  <si>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</si>
  <si>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MicroXNJ</t>
  </si>
  <si>
    <t>4G调试接口</t>
  </si>
  <si>
    <t>MICRO-USB-SMD_MICROXNJ</t>
  </si>
  <si>
    <t>SHOU HAN(首韩)</t>
  </si>
  <si>
    <t>C404969</t>
  </si>
  <si>
    <t>LCSC</t>
  </si>
  <si>
    <t>0.245</t>
  </si>
  <si>
    <t>470uF</t>
  </si>
  <si>
    <t>C3, C5</t>
  </si>
  <si>
    <t>CASE-D_7343</t>
  </si>
  <si>
    <t>TAJD477K006RNJ</t>
  </si>
  <si>
    <t>Kyocera AVX</t>
  </si>
  <si>
    <t>C7229</t>
  </si>
  <si>
    <t>3.74</t>
  </si>
  <si>
    <t>100nF</t>
  </si>
  <si>
    <t>C4, C6, C12, C15</t>
  </si>
  <si>
    <t>C0603</t>
  </si>
  <si>
    <t>CC0603KRX7R9BB104</t>
  </si>
  <si>
    <t>YAGEO(国巨)</t>
  </si>
  <si>
    <t>C14663</t>
  </si>
  <si>
    <t>0.0155</t>
  </si>
  <si>
    <t>33pF</t>
  </si>
  <si>
    <t>C7, C9, C10, C11, C17</t>
  </si>
  <si>
    <t>CL10C330JB8NNNC</t>
  </si>
  <si>
    <t>SAMSUNG(三星)</t>
  </si>
  <si>
    <t>C1663</t>
  </si>
  <si>
    <t>0.0353</t>
  </si>
  <si>
    <t>10pF</t>
  </si>
  <si>
    <t>C8</t>
  </si>
  <si>
    <t>CL10C100JB8NNNC</t>
  </si>
  <si>
    <t>C1634</t>
  </si>
  <si>
    <t>0.0302</t>
  </si>
  <si>
    <t>C13, C14</t>
  </si>
  <si>
    <t>CGA0603X7R104K500JT</t>
  </si>
  <si>
    <t>HRE(芯声)</t>
  </si>
  <si>
    <t>C6119867</t>
  </si>
  <si>
    <t>0.0114</t>
  </si>
  <si>
    <t>2pF</t>
  </si>
  <si>
    <t>C16</t>
  </si>
  <si>
    <t>CC0603BRNPO9BN2R0</t>
  </si>
  <si>
    <t>C513620</t>
  </si>
  <si>
    <t>0.0262</t>
  </si>
  <si>
    <t>SMC-202-6</t>
  </si>
  <si>
    <t>CARD1</t>
  </si>
  <si>
    <t>SIM-SMD_SMC-202-6</t>
  </si>
  <si>
    <t>XUNPU(讯普)</t>
  </si>
  <si>
    <t>C266634</t>
  </si>
  <si>
    <t>2.37</t>
  </si>
  <si>
    <t>SMBJ6.5CA</t>
  </si>
  <si>
    <t>D1</t>
  </si>
  <si>
    <t>SMB_L4.6-W3.5-LS5.3-BI</t>
  </si>
  <si>
    <t>宏嘉诚</t>
  </si>
  <si>
    <t>C7420377</t>
  </si>
  <si>
    <t>0.2736</t>
  </si>
  <si>
    <t>SS34</t>
  </si>
  <si>
    <t>D2</t>
  </si>
  <si>
    <t>SMA_L4.3-W2.6-LS5.0-FD</t>
  </si>
  <si>
    <t>宏迦橙</t>
  </si>
  <si>
    <t>C7420365</t>
  </si>
  <si>
    <t>0.1703</t>
  </si>
  <si>
    <t>DC-005-A200</t>
  </si>
  <si>
    <t>DC1</t>
  </si>
  <si>
    <t>DC-IN-TH_DC-005-A200</t>
  </si>
  <si>
    <t>C720557</t>
  </si>
  <si>
    <t>0.7473</t>
  </si>
  <si>
    <t>PZ254V-11-06P</t>
  </si>
  <si>
    <t>H5</t>
  </si>
  <si>
    <t>HDR-TH_6P-P2.54-V-M</t>
  </si>
  <si>
    <t>XFCN(兴飞)</t>
  </si>
  <si>
    <t>C492405</t>
  </si>
  <si>
    <t>0.2446</t>
  </si>
  <si>
    <t>PZ254V-11-02P</t>
  </si>
  <si>
    <t>H6</t>
  </si>
  <si>
    <t>HDR-TH_2P-P2.54-V-M</t>
  </si>
  <si>
    <t>C492401</t>
  </si>
  <si>
    <t>0.0874</t>
  </si>
  <si>
    <t>PZ254V-11-04P</t>
  </si>
  <si>
    <t>H7</t>
  </si>
  <si>
    <t>HDR-TH_4P-P2.54-V-M</t>
  </si>
  <si>
    <t>C2691448</t>
  </si>
  <si>
    <t>0.1384</t>
  </si>
  <si>
    <t>PCIE-52P52H</t>
  </si>
  <si>
    <t>Mini-PCIE</t>
  </si>
  <si>
    <t>CONN-SMD_PCIE-52P52H</t>
  </si>
  <si>
    <t>C266899</t>
  </si>
  <si>
    <t>4.3</t>
  </si>
  <si>
    <t>S8050</t>
  </si>
  <si>
    <t>Q1, Q2</t>
  </si>
  <si>
    <t>SOT-23-3_L2.9-W1.3-P1.90-LS2.3-BR</t>
  </si>
  <si>
    <t>C20069125</t>
  </si>
  <si>
    <t>0.0621</t>
  </si>
  <si>
    <t>51kΩ</t>
  </si>
  <si>
    <t>R11, R13, R25</t>
  </si>
  <si>
    <t>R0603</t>
  </si>
  <si>
    <t>0603WAF5102T5E</t>
  </si>
  <si>
    <t>UNI-ROYAL(厚声)</t>
  </si>
  <si>
    <t>C23196</t>
  </si>
  <si>
    <t>0.0069</t>
  </si>
  <si>
    <t>4.7kΩ</t>
  </si>
  <si>
    <t>R12</t>
  </si>
  <si>
    <t>0603WAF4701T5E</t>
  </si>
  <si>
    <t>C23162</t>
  </si>
  <si>
    <t>0.007</t>
  </si>
  <si>
    <t>82kΩ</t>
  </si>
  <si>
    <t>R14</t>
  </si>
  <si>
    <t>0603WAF8202T5E</t>
  </si>
  <si>
    <t>C23254</t>
  </si>
  <si>
    <t>47kΩ</t>
  </si>
  <si>
    <t>R15</t>
  </si>
  <si>
    <t>0603WAF4702T5E</t>
  </si>
  <si>
    <t>C25819</t>
  </si>
  <si>
    <t>0.0072</t>
  </si>
  <si>
    <t>470Ω</t>
  </si>
  <si>
    <t>R16</t>
  </si>
  <si>
    <t>0603WAF4700T5E</t>
  </si>
  <si>
    <t>C23179</t>
  </si>
  <si>
    <t>0.0071</t>
  </si>
  <si>
    <t>22Ω</t>
  </si>
  <si>
    <t>R17, R18, R19</t>
  </si>
  <si>
    <t>0603WAF220JT5E</t>
  </si>
  <si>
    <t>C23345</t>
  </si>
  <si>
    <t>0.0063</t>
  </si>
  <si>
    <t>15kΩ</t>
  </si>
  <si>
    <t>R20</t>
  </si>
  <si>
    <t>0603WAF1502T5E</t>
  </si>
  <si>
    <t>C22809</t>
  </si>
  <si>
    <t>100kΩ</t>
  </si>
  <si>
    <t>R21</t>
  </si>
  <si>
    <t>0603WAF1003T5E</t>
  </si>
  <si>
    <t>C25803</t>
  </si>
  <si>
    <t>0.0065</t>
  </si>
  <si>
    <t>0Ω</t>
  </si>
  <si>
    <t>R22, R23, R26, R27</t>
  </si>
  <si>
    <t>0603WAF0000T5E</t>
  </si>
  <si>
    <t>C21189</t>
  </si>
  <si>
    <t>0.0067</t>
  </si>
  <si>
    <t>5.6kΩ</t>
  </si>
  <si>
    <t>R24</t>
  </si>
  <si>
    <t>0603WAF5601T5E</t>
  </si>
  <si>
    <t>C23189</t>
  </si>
  <si>
    <t>0.0068</t>
  </si>
  <si>
    <t>1kΩ</t>
  </si>
  <si>
    <t>R28</t>
  </si>
  <si>
    <t>0603WAF1001T5E</t>
  </si>
  <si>
    <t>C21190</t>
  </si>
  <si>
    <t>0</t>
  </si>
  <si>
    <t>R29</t>
  </si>
  <si>
    <t>SK12D07VG4</t>
  </si>
  <si>
    <t>SW1</t>
  </si>
  <si>
    <t>SW-TH_SK12D07VG4</t>
  </si>
  <si>
    <t>C393937</t>
  </si>
  <si>
    <t>0.1551</t>
  </si>
  <si>
    <t>SMF05C</t>
  </si>
  <si>
    <t>U3</t>
  </si>
  <si>
    <t>SOT-363_L2.1-W1.3-P0.65-LS2.1-BL</t>
  </si>
  <si>
    <t>MSKSEMI(美森科)</t>
  </si>
  <si>
    <t>C2995323</t>
  </si>
  <si>
    <t>0.2491</t>
  </si>
  <si>
    <t>MIC29302WU(UMW)</t>
  </si>
  <si>
    <t>U4</t>
  </si>
  <si>
    <t>TO-263-5_L10.1-W8.7-P1.70-LS15.2-BR</t>
  </si>
  <si>
    <t>UMW(友台半导体)</t>
  </si>
  <si>
    <t>C2995533</t>
  </si>
  <si>
    <t>5.48</t>
  </si>
  <si>
    <t>TXS0104EPWR</t>
  </si>
  <si>
    <t>U5</t>
  </si>
  <si>
    <t>TSSOP-14_L5.0-W4.4-P0.65-LS6.4-BL</t>
  </si>
  <si>
    <t>TI(德州仪器)</t>
  </si>
  <si>
    <t>C44955</t>
  </si>
  <si>
    <t>1.6495</t>
  </si>
  <si>
    <t>KT-0603R</t>
  </si>
  <si>
    <t>网络</t>
  </si>
  <si>
    <t>LED0603-RD</t>
  </si>
  <si>
    <t>KENTO</t>
  </si>
  <si>
    <t>C2286</t>
  </si>
  <si>
    <t>0.0371</t>
  </si>
  <si>
    <t>Project Title</t>
  </si>
  <si>
    <t>Borard Title</t>
  </si>
  <si>
    <t>EC20</t>
  </si>
  <si>
    <t>Schematic Title</t>
  </si>
  <si>
    <t>PCB Title</t>
  </si>
  <si>
    <t>PCB2</t>
  </si>
  <si>
    <t>Variant Name</t>
  </si>
  <si>
    <t>Total Quantity</t>
  </si>
  <si>
    <t>Report Time</t>
  </si>
  <si>
    <t>9:53:33</t>
  </si>
  <si>
    <t>Report Date</t>
  </si>
  <si>
    <t>2025年8月13日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</si>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</sst>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27</v>
      </c>
      <c r="L7" s="10">
        <f>B7*K7</f>
      </c>
    </row>
    <row r="8" spans="1:12" x14ac:dyDescent="0.25">
      <c r="A8" s="8">
        <f>ROW()-6</f>
      </c>
      <c r="B8" s="9">
        <v>2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26</v>
      </c>
      <c r="K8" s="9" t="s">
        <v>34</v>
      </c>
      <c r="L8" s="10">
        <f>B8*K8</f>
      </c>
    </row>
    <row r="9" spans="1:12" x14ac:dyDescent="0.25">
      <c r="A9" s="8">
        <f>ROW()-6</f>
      </c>
      <c r="B9" s="9">
        <v>4</v>
      </c>
      <c r="C9" s="9" t="s">
        <v>35</v>
      </c>
      <c r="D9" s="9" t="s">
        <v>36</v>
      </c>
      <c r="E9" s="9" t="s">
        <v>37</v>
      </c>
      <c r="F9" s="9" t="s">
        <v>35</v>
      </c>
      <c r="G9" s="9" t="s">
        <v>38</v>
      </c>
      <c r="H9" s="9" t="s">
        <v>39</v>
      </c>
      <c r="I9" s="9" t="s">
        <v>40</v>
      </c>
      <c r="J9" s="9" t="s">
        <v>26</v>
      </c>
      <c r="K9" s="9" t="s">
        <v>41</v>
      </c>
      <c r="L9" s="10">
        <f>B9*K9</f>
      </c>
    </row>
    <row r="10" spans="1:12" x14ac:dyDescent="0.25">
      <c r="A10" s="8">
        <f>ROW()-6</f>
      </c>
      <c r="B10" s="9">
        <v>5</v>
      </c>
      <c r="C10" s="9" t="s">
        <v>42</v>
      </c>
      <c r="D10" s="9" t="s">
        <v>43</v>
      </c>
      <c r="E10" s="9" t="s">
        <v>37</v>
      </c>
      <c r="F10" s="9" t="s">
        <v>42</v>
      </c>
      <c r="G10" s="9" t="s">
        <v>44</v>
      </c>
      <c r="H10" s="9" t="s">
        <v>45</v>
      </c>
      <c r="I10" s="9" t="s">
        <v>46</v>
      </c>
      <c r="J10" s="9" t="s">
        <v>26</v>
      </c>
      <c r="K10" s="9" t="s">
        <v>47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48</v>
      </c>
      <c r="D11" s="9" t="s">
        <v>49</v>
      </c>
      <c r="E11" s="9" t="s">
        <v>37</v>
      </c>
      <c r="F11" s="9" t="s">
        <v>48</v>
      </c>
      <c r="G11" s="9" t="s">
        <v>50</v>
      </c>
      <c r="H11" s="9" t="s">
        <v>45</v>
      </c>
      <c r="I11" s="9" t="s">
        <v>51</v>
      </c>
      <c r="J11" s="9" t="s">
        <v>26</v>
      </c>
      <c r="K11" s="9" t="s">
        <v>52</v>
      </c>
      <c r="L11" s="10">
        <f>B11*K11</f>
      </c>
    </row>
    <row r="12" spans="1:12" x14ac:dyDescent="0.25">
      <c r="A12" s="8">
        <f>ROW()-6</f>
      </c>
      <c r="B12" s="9">
        <v>2</v>
      </c>
      <c r="C12" s="9" t="s">
        <v>35</v>
      </c>
      <c r="D12" s="9" t="s">
        <v>53</v>
      </c>
      <c r="E12" s="9" t="s">
        <v>37</v>
      </c>
      <c r="F12" s="9" t="s">
        <v>35</v>
      </c>
      <c r="G12" s="9" t="s">
        <v>54</v>
      </c>
      <c r="H12" s="9" t="s">
        <v>55</v>
      </c>
      <c r="I12" s="9" t="s">
        <v>56</v>
      </c>
      <c r="J12" s="9" t="s">
        <v>26</v>
      </c>
      <c r="K12" s="9" t="s">
        <v>57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58</v>
      </c>
      <c r="D13" s="9" t="s">
        <v>59</v>
      </c>
      <c r="E13" s="9" t="s">
        <v>37</v>
      </c>
      <c r="F13" s="9" t="s">
        <v>58</v>
      </c>
      <c r="G13" s="9" t="s">
        <v>60</v>
      </c>
      <c r="H13" s="9" t="s">
        <v>39</v>
      </c>
      <c r="I13" s="9" t="s">
        <v>61</v>
      </c>
      <c r="J13" s="9" t="s">
        <v>26</v>
      </c>
      <c r="K13" s="9" t="s">
        <v>62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63</v>
      </c>
      <c r="D14" s="9" t="s">
        <v>64</v>
      </c>
      <c r="E14" s="9" t="s">
        <v>65</v>
      </c>
      <c r="F14" s="9" t="s">
        <v>0</v>
      </c>
      <c r="G14" s="9" t="s">
        <v>63</v>
      </c>
      <c r="H14" s="9" t="s">
        <v>66</v>
      </c>
      <c r="I14" s="9" t="s">
        <v>67</v>
      </c>
      <c r="J14" s="9" t="s">
        <v>26</v>
      </c>
      <c r="K14" s="9" t="s">
        <v>68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69</v>
      </c>
      <c r="D15" s="9" t="s">
        <v>70</v>
      </c>
      <c r="E15" s="9" t="s">
        <v>71</v>
      </c>
      <c r="F15" s="9" t="s">
        <v>0</v>
      </c>
      <c r="G15" s="9" t="s">
        <v>69</v>
      </c>
      <c r="H15" s="9" t="s">
        <v>72</v>
      </c>
      <c r="I15" s="9" t="s">
        <v>73</v>
      </c>
      <c r="J15" s="9" t="s">
        <v>26</v>
      </c>
      <c r="K15" s="9" t="s">
        <v>74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75</v>
      </c>
      <c r="D16" s="9" t="s">
        <v>76</v>
      </c>
      <c r="E16" s="9" t="s">
        <v>77</v>
      </c>
      <c r="F16" s="9" t="s">
        <v>0</v>
      </c>
      <c r="G16" s="9" t="s">
        <v>75</v>
      </c>
      <c r="H16" s="9" t="s">
        <v>78</v>
      </c>
      <c r="I16" s="9" t="s">
        <v>79</v>
      </c>
      <c r="J16" s="9" t="s">
        <v>26</v>
      </c>
      <c r="K16" s="9" t="s">
        <v>80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81</v>
      </c>
      <c r="D17" s="9" t="s">
        <v>82</v>
      </c>
      <c r="E17" s="9" t="s">
        <v>83</v>
      </c>
      <c r="F17" s="9" t="s">
        <v>0</v>
      </c>
      <c r="G17" s="9" t="s">
        <v>81</v>
      </c>
      <c r="H17" s="9" t="s">
        <v>66</v>
      </c>
      <c r="I17" s="9" t="s">
        <v>84</v>
      </c>
      <c r="J17" s="9" t="s">
        <v>26</v>
      </c>
      <c r="K17" s="9" t="s">
        <v>85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86</v>
      </c>
      <c r="D18" s="9" t="s">
        <v>87</v>
      </c>
      <c r="E18" s="9" t="s">
        <v>88</v>
      </c>
      <c r="F18" s="9" t="s">
        <v>0</v>
      </c>
      <c r="G18" s="9" t="s">
        <v>86</v>
      </c>
      <c r="H18" s="9" t="s">
        <v>89</v>
      </c>
      <c r="I18" s="9" t="s">
        <v>90</v>
      </c>
      <c r="J18" s="9" t="s">
        <v>26</v>
      </c>
      <c r="K18" s="9" t="s">
        <v>91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92</v>
      </c>
      <c r="D19" s="9" t="s">
        <v>93</v>
      </c>
      <c r="E19" s="9" t="s">
        <v>94</v>
      </c>
      <c r="F19" s="9" t="s">
        <v>0</v>
      </c>
      <c r="G19" s="9" t="s">
        <v>92</v>
      </c>
      <c r="H19" s="9" t="s">
        <v>89</v>
      </c>
      <c r="I19" s="9" t="s">
        <v>95</v>
      </c>
      <c r="J19" s="9" t="s">
        <v>26</v>
      </c>
      <c r="K19" s="9" t="s">
        <v>96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97</v>
      </c>
      <c r="D20" s="9" t="s">
        <v>98</v>
      </c>
      <c r="E20" s="9" t="s">
        <v>99</v>
      </c>
      <c r="F20" s="9" t="s">
        <v>0</v>
      </c>
      <c r="G20" s="9" t="s">
        <v>97</v>
      </c>
      <c r="H20" s="9" t="s">
        <v>89</v>
      </c>
      <c r="I20" s="9" t="s">
        <v>100</v>
      </c>
      <c r="J20" s="9" t="s">
        <v>26</v>
      </c>
      <c r="K20" s="9" t="s">
        <v>101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102</v>
      </c>
      <c r="D21" s="9" t="s">
        <v>103</v>
      </c>
      <c r="E21" s="9" t="s">
        <v>104</v>
      </c>
      <c r="F21" s="9" t="s">
        <v>0</v>
      </c>
      <c r="G21" s="9" t="s">
        <v>102</v>
      </c>
      <c r="H21" s="9" t="s">
        <v>66</v>
      </c>
      <c r="I21" s="9" t="s">
        <v>105</v>
      </c>
      <c r="J21" s="9" t="s">
        <v>26</v>
      </c>
      <c r="K21" s="9" t="s">
        <v>106</v>
      </c>
      <c r="L21" s="10">
        <f>B21*K21</f>
      </c>
    </row>
    <row r="22" spans="1:12" x14ac:dyDescent="0.25">
      <c r="A22" s="8">
        <f>ROW()-6</f>
      </c>
      <c r="B22" s="9">
        <v>2</v>
      </c>
      <c r="C22" s="9" t="s">
        <v>107</v>
      </c>
      <c r="D22" s="9" t="s">
        <v>108</v>
      </c>
      <c r="E22" s="9" t="s">
        <v>109</v>
      </c>
      <c r="F22" s="9" t="s">
        <v>0</v>
      </c>
      <c r="G22" s="9" t="s">
        <v>107</v>
      </c>
      <c r="H22" s="9" t="s">
        <v>72</v>
      </c>
      <c r="I22" s="9" t="s">
        <v>110</v>
      </c>
      <c r="J22" s="9" t="s">
        <v>26</v>
      </c>
      <c r="K22" s="9" t="s">
        <v>111</v>
      </c>
      <c r="L22" s="10">
        <f>B22*K22</f>
      </c>
    </row>
    <row r="23" spans="1:12" x14ac:dyDescent="0.25">
      <c r="A23" s="8">
        <f>ROW()-6</f>
      </c>
      <c r="B23" s="9">
        <v>3</v>
      </c>
      <c r="C23" s="9" t="s">
        <v>112</v>
      </c>
      <c r="D23" s="9" t="s">
        <v>113</v>
      </c>
      <c r="E23" s="9" t="s">
        <v>114</v>
      </c>
      <c r="F23" s="9" t="s">
        <v>112</v>
      </c>
      <c r="G23" s="9" t="s">
        <v>115</v>
      </c>
      <c r="H23" s="9" t="s">
        <v>116</v>
      </c>
      <c r="I23" s="9" t="s">
        <v>117</v>
      </c>
      <c r="J23" s="9" t="s">
        <v>26</v>
      </c>
      <c r="K23" s="9" t="s">
        <v>118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119</v>
      </c>
      <c r="D24" s="9" t="s">
        <v>120</v>
      </c>
      <c r="E24" s="9" t="s">
        <v>114</v>
      </c>
      <c r="F24" s="9" t="s">
        <v>119</v>
      </c>
      <c r="G24" s="9" t="s">
        <v>121</v>
      </c>
      <c r="H24" s="9" t="s">
        <v>116</v>
      </c>
      <c r="I24" s="9" t="s">
        <v>122</v>
      </c>
      <c r="J24" s="9" t="s">
        <v>26</v>
      </c>
      <c r="K24" s="9" t="s">
        <v>123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124</v>
      </c>
      <c r="D25" s="9" t="s">
        <v>125</v>
      </c>
      <c r="E25" s="9" t="s">
        <v>114</v>
      </c>
      <c r="F25" s="9" t="s">
        <v>124</v>
      </c>
      <c r="G25" s="9" t="s">
        <v>126</v>
      </c>
      <c r="H25" s="9" t="s">
        <v>116</v>
      </c>
      <c r="I25" s="9" t="s">
        <v>127</v>
      </c>
      <c r="J25" s="9" t="s">
        <v>26</v>
      </c>
      <c r="K25" s="9" t="s">
        <v>118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128</v>
      </c>
      <c r="D26" s="9" t="s">
        <v>129</v>
      </c>
      <c r="E26" s="9" t="s">
        <v>114</v>
      </c>
      <c r="F26" s="9" t="s">
        <v>128</v>
      </c>
      <c r="G26" s="9" t="s">
        <v>130</v>
      </c>
      <c r="H26" s="9" t="s">
        <v>116</v>
      </c>
      <c r="I26" s="9" t="s">
        <v>131</v>
      </c>
      <c r="J26" s="9" t="s">
        <v>26</v>
      </c>
      <c r="K26" s="9" t="s">
        <v>132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133</v>
      </c>
      <c r="D27" s="9" t="s">
        <v>134</v>
      </c>
      <c r="E27" s="9" t="s">
        <v>114</v>
      </c>
      <c r="F27" s="9" t="s">
        <v>133</v>
      </c>
      <c r="G27" s="9" t="s">
        <v>135</v>
      </c>
      <c r="H27" s="9" t="s">
        <v>116</v>
      </c>
      <c r="I27" s="9" t="s">
        <v>136</v>
      </c>
      <c r="J27" s="9" t="s">
        <v>26</v>
      </c>
      <c r="K27" s="9" t="s">
        <v>137</v>
      </c>
      <c r="L27" s="10">
        <f>B27*K27</f>
      </c>
    </row>
    <row r="28" spans="1:12" x14ac:dyDescent="0.25">
      <c r="A28" s="8">
        <f>ROW()-6</f>
      </c>
      <c r="B28" s="9">
        <v>3</v>
      </c>
      <c r="C28" s="9" t="s">
        <v>138</v>
      </c>
      <c r="D28" s="9" t="s">
        <v>139</v>
      </c>
      <c r="E28" s="9" t="s">
        <v>114</v>
      </c>
      <c r="F28" s="9" t="s">
        <v>138</v>
      </c>
      <c r="G28" s="9" t="s">
        <v>140</v>
      </c>
      <c r="H28" s="9" t="s">
        <v>116</v>
      </c>
      <c r="I28" s="9" t="s">
        <v>141</v>
      </c>
      <c r="J28" s="9" t="s">
        <v>26</v>
      </c>
      <c r="K28" s="9" t="s">
        <v>142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143</v>
      </c>
      <c r="D29" s="9" t="s">
        <v>144</v>
      </c>
      <c r="E29" s="9" t="s">
        <v>114</v>
      </c>
      <c r="F29" s="9" t="s">
        <v>143</v>
      </c>
      <c r="G29" s="9" t="s">
        <v>145</v>
      </c>
      <c r="H29" s="9" t="s">
        <v>116</v>
      </c>
      <c r="I29" s="9" t="s">
        <v>146</v>
      </c>
      <c r="J29" s="9" t="s">
        <v>26</v>
      </c>
      <c r="K29" s="9" t="s">
        <v>123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147</v>
      </c>
      <c r="D30" s="9" t="s">
        <v>148</v>
      </c>
      <c r="E30" s="9" t="s">
        <v>114</v>
      </c>
      <c r="F30" s="9" t="s">
        <v>147</v>
      </c>
      <c r="G30" s="9" t="s">
        <v>149</v>
      </c>
      <c r="H30" s="9" t="s">
        <v>116</v>
      </c>
      <c r="I30" s="9" t="s">
        <v>150</v>
      </c>
      <c r="J30" s="9" t="s">
        <v>26</v>
      </c>
      <c r="K30" s="9" t="s">
        <v>151</v>
      </c>
      <c r="L30" s="10">
        <f>B30*K30</f>
      </c>
    </row>
    <row r="31" spans="1:12" x14ac:dyDescent="0.25">
      <c r="A31" s="8">
        <f>ROW()-6</f>
      </c>
      <c r="B31" s="9">
        <v>4</v>
      </c>
      <c r="C31" s="9" t="s">
        <v>152</v>
      </c>
      <c r="D31" s="9" t="s">
        <v>153</v>
      </c>
      <c r="E31" s="9" t="s">
        <v>114</v>
      </c>
      <c r="F31" s="9" t="s">
        <v>152</v>
      </c>
      <c r="G31" s="9" t="s">
        <v>154</v>
      </c>
      <c r="H31" s="9" t="s">
        <v>116</v>
      </c>
      <c r="I31" s="9" t="s">
        <v>155</v>
      </c>
      <c r="J31" s="9" t="s">
        <v>26</v>
      </c>
      <c r="K31" s="9" t="s">
        <v>156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157</v>
      </c>
      <c r="D32" s="9" t="s">
        <v>158</v>
      </c>
      <c r="E32" s="9" t="s">
        <v>114</v>
      </c>
      <c r="F32" s="9" t="s">
        <v>157</v>
      </c>
      <c r="G32" s="9" t="s">
        <v>159</v>
      </c>
      <c r="H32" s="9" t="s">
        <v>116</v>
      </c>
      <c r="I32" s="9" t="s">
        <v>160</v>
      </c>
      <c r="J32" s="9" t="s">
        <v>26</v>
      </c>
      <c r="K32" s="9" t="s">
        <v>161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162</v>
      </c>
      <c r="D33" s="9" t="s">
        <v>163</v>
      </c>
      <c r="E33" s="9" t="s">
        <v>114</v>
      </c>
      <c r="F33" s="9" t="s">
        <v>162</v>
      </c>
      <c r="G33" s="9" t="s">
        <v>164</v>
      </c>
      <c r="H33" s="9" t="s">
        <v>116</v>
      </c>
      <c r="I33" s="9" t="s">
        <v>165</v>
      </c>
      <c r="J33" s="9" t="s">
        <v>26</v>
      </c>
      <c r="K33" s="9" t="s">
        <v>151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166</v>
      </c>
      <c r="D34" s="9" t="s">
        <v>167</v>
      </c>
      <c r="E34" s="9" t="s">
        <v>114</v>
      </c>
      <c r="F34" s="9" t="s">
        <v>166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168</v>
      </c>
      <c r="D35" s="9" t="s">
        <v>169</v>
      </c>
      <c r="E35" s="9" t="s">
        <v>170</v>
      </c>
      <c r="F35" s="9" t="s">
        <v>0</v>
      </c>
      <c r="G35" s="9" t="s">
        <v>168</v>
      </c>
      <c r="H35" s="9" t="s">
        <v>24</v>
      </c>
      <c r="I35" s="9" t="s">
        <v>171</v>
      </c>
      <c r="J35" s="9" t="s">
        <v>26</v>
      </c>
      <c r="K35" s="9" t="s">
        <v>172</v>
      </c>
      <c r="L35" s="10">
        <f>B35*K35</f>
      </c>
    </row>
    <row r="36" spans="1:12" x14ac:dyDescent="0.25">
      <c r="A36" s="8">
        <f>ROW()-6</f>
      </c>
      <c r="B36" s="9">
        <v>1</v>
      </c>
      <c r="C36" s="9" t="s">
        <v>173</v>
      </c>
      <c r="D36" s="9" t="s">
        <v>174</v>
      </c>
      <c r="E36" s="9" t="s">
        <v>175</v>
      </c>
      <c r="F36" s="9" t="s">
        <v>0</v>
      </c>
      <c r="G36" s="9" t="s">
        <v>173</v>
      </c>
      <c r="H36" s="9" t="s">
        <v>176</v>
      </c>
      <c r="I36" s="9" t="s">
        <v>177</v>
      </c>
      <c r="J36" s="9" t="s">
        <v>26</v>
      </c>
      <c r="K36" s="9" t="s">
        <v>178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179</v>
      </c>
      <c r="D37" s="9" t="s">
        <v>180</v>
      </c>
      <c r="E37" s="9" t="s">
        <v>181</v>
      </c>
      <c r="F37" s="9" t="s">
        <v>0</v>
      </c>
      <c r="G37" s="9" t="s">
        <v>179</v>
      </c>
      <c r="H37" s="9" t="s">
        <v>182</v>
      </c>
      <c r="I37" s="9" t="s">
        <v>183</v>
      </c>
      <c r="J37" s="9" t="s">
        <v>26</v>
      </c>
      <c r="K37" s="9" t="s">
        <v>184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185</v>
      </c>
      <c r="D38" s="9" t="s">
        <v>186</v>
      </c>
      <c r="E38" s="9" t="s">
        <v>187</v>
      </c>
      <c r="F38" s="9" t="s">
        <v>0</v>
      </c>
      <c r="G38" s="9" t="s">
        <v>185</v>
      </c>
      <c r="H38" s="9" t="s">
        <v>188</v>
      </c>
      <c r="I38" s="9" t="s">
        <v>189</v>
      </c>
      <c r="J38" s="9" t="s">
        <v>26</v>
      </c>
      <c r="K38" s="9" t="s">
        <v>190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191</v>
      </c>
      <c r="D39" s="9" t="s">
        <v>192</v>
      </c>
      <c r="E39" s="9" t="s">
        <v>193</v>
      </c>
      <c r="F39" s="9" t="s">
        <v>0</v>
      </c>
      <c r="G39" s="9" t="s">
        <v>191</v>
      </c>
      <c r="H39" s="9" t="s">
        <v>194</v>
      </c>
      <c r="I39" s="9" t="s">
        <v>195</v>
      </c>
      <c r="J39" s="9" t="s">
        <v>26</v>
      </c>
      <c r="K39" s="9" t="s">
        <v>196</v>
      </c>
      <c r="L39" s="10">
        <f>B39*K39</f>
      </c>
    </row>
    <row r="40" spans="1:12" x14ac:dyDescent="0.25">
      <c r="A40" s="8">
        <f>ROW()-6</f>
      </c>
      <c r="B40" s="11">
        <f>SUM(L7:L39)</f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4">
    <mergeCell ref="A1:D5"/>
    <mergeCell ref="E1:E2"/>
    <mergeCell ref="F1:F2"/>
    <mergeCell ref="B40:L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197</v>
      </c>
      <c r="B1" s="6" t="s">
        <v>4</v>
      </c>
    </row>
    <row r="2" spans="1:2" x14ac:dyDescent="0.25">
      <c r="A2" s="6" t="s">
        <v>198</v>
      </c>
      <c r="B2" s="6" t="s">
        <v>199</v>
      </c>
    </row>
    <row r="3" spans="1:2" x14ac:dyDescent="0.25">
      <c r="A3" s="6" t="s">
        <v>200</v>
      </c>
      <c r="B3" s="6" t="s">
        <v>6</v>
      </c>
    </row>
    <row r="4" spans="1:2" x14ac:dyDescent="0.25">
      <c r="A4" s="6" t="s">
        <v>201</v>
      </c>
      <c r="B4" s="6" t="s">
        <v>202</v>
      </c>
    </row>
    <row r="5" spans="1:2" x14ac:dyDescent="0.25">
      <c r="A5" s="6" t="s">
        <v>203</v>
      </c>
      <c r="B5" s="6" t="s">
        <v>6</v>
      </c>
    </row>
    <row r="6" spans="1:2" x14ac:dyDescent="0.25">
      <c r="A6" s="6" t="s">
        <v>204</v>
      </c>
      <c r="B6" s="6">
        <v>50</v>
      </c>
    </row>
    <row r="7" spans="1:2" x14ac:dyDescent="0.25">
      <c r="A7" s="6" t="s">
        <v>205</v>
      </c>
      <c r="B7" s="6" t="s">
        <v>206</v>
      </c>
    </row>
    <row r="8" spans="1:2" x14ac:dyDescent="0.25">
      <c r="A8" s="6" t="s">
        <v>207</v>
      </c>
      <c r="B8" s="6" t="s">
        <v>208</v>
      </c>
    </row>
    <row r="9" spans="1:2" x14ac:dyDescent="0.25">
      <c r="A9" s="6" t="s">
        <v>209</v>
      </c>
      <c r="B9" s="6" t="s">
        <v>8</v>
      </c>
    </row>
    <row r="10" spans="1:2" x14ac:dyDescent="0.25">
      <c r="A10" s="6" t="s">
        <v>210</v>
      </c>
      <c r="B10" s="6" t="s">
        <v>2</v>
      </c>
    </row>
    <row r="11" spans="1:2" x14ac:dyDescent="0.25">
      <c r="A11" s="6" t="s">
        <v>211</v>
      </c>
      <c r="B11" s="6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2025-08-13T01:53:33Z</dcterms:modified>
</cp:coreProperties>
</file>